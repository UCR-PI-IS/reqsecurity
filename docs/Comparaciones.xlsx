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daniel_perezmorera_ucr_ac_cr/Documents/Desktop/UCR/CITIC/AgilSec/llm-security-requirements-generator/"/>
    </mc:Choice>
  </mc:AlternateContent>
  <xr:revisionPtr revIDLastSave="368" documentId="11_8C6A4F48F4CADA482BA990ED0C0A238DBA1F485D" xr6:coauthVersionLast="47" xr6:coauthVersionMax="47" xr10:uidLastSave="{C2155BD2-05BC-4E60-BE39-FBBA732AF071}"/>
  <bookViews>
    <workbookView xWindow="-108" yWindow="-108" windowWidth="23256" windowHeight="12456" firstSheet="2" activeTab="3" xr2:uid="{00000000-000D-0000-FFFF-FFFF00000000}"/>
  </bookViews>
  <sheets>
    <sheet name="Use Case Metrics" sheetId="1" r:id="rId1"/>
    <sheet name="Domain Metrics" sheetId="2" r:id="rId2"/>
    <sheet name="Studies Metrics" sheetId="3" r:id="rId3"/>
    <sheet name="Sheet1" sheetId="5" r:id="rId4"/>
    <sheet name="Overall Metr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20" i="3"/>
  <c r="G19" i="3"/>
  <c r="G18" i="3"/>
  <c r="G17" i="3"/>
  <c r="G16" i="3"/>
  <c r="F20" i="3"/>
  <c r="F19" i="3"/>
  <c r="F18" i="3"/>
  <c r="F17" i="3"/>
  <c r="E20" i="3"/>
  <c r="E19" i="3"/>
  <c r="E18" i="3"/>
  <c r="E17" i="3"/>
  <c r="E16" i="3"/>
</calcChain>
</file>

<file path=xl/sharedStrings.xml><?xml version="1.0" encoding="utf-8"?>
<sst xmlns="http://schemas.openxmlformats.org/spreadsheetml/2006/main" count="170" uniqueCount="52">
  <si>
    <t>Use Case</t>
  </si>
  <si>
    <t>Domain</t>
  </si>
  <si>
    <t>TP</t>
  </si>
  <si>
    <t>FP</t>
  </si>
  <si>
    <t>FN</t>
  </si>
  <si>
    <t>Precision</t>
  </si>
  <si>
    <t>Recall</t>
  </si>
  <si>
    <t>F1 Score</t>
  </si>
  <si>
    <t>1</t>
  </si>
  <si>
    <t>Mobile banking</t>
  </si>
  <si>
    <t>2</t>
  </si>
  <si>
    <t>3</t>
  </si>
  <si>
    <t>Healthcare</t>
  </si>
  <si>
    <t>4</t>
  </si>
  <si>
    <t>5</t>
  </si>
  <si>
    <t>UCR15</t>
  </si>
  <si>
    <t>NCSU14</t>
  </si>
  <si>
    <t>NCSU13</t>
  </si>
  <si>
    <t>UT14</t>
  </si>
  <si>
    <t>UCR18</t>
  </si>
  <si>
    <t>Studies</t>
  </si>
  <si>
    <t>Total TP</t>
  </si>
  <si>
    <t>Total FP</t>
  </si>
  <si>
    <t>Total FN</t>
  </si>
  <si>
    <t>Overall Precision</t>
  </si>
  <si>
    <t>Overall Recall</t>
  </si>
  <si>
    <t>Overall F1 Score</t>
  </si>
  <si>
    <t>Relevance</t>
  </si>
  <si>
    <t>Coverage</t>
  </si>
  <si>
    <t>Propmt Original</t>
  </si>
  <si>
    <t>Anotacion de relevancia</t>
  </si>
  <si>
    <t xml:space="preserve">Pasos </t>
  </si>
  <si>
    <t>Tener el prompt original con resultados para tabularlos en la tabla</t>
  </si>
  <si>
    <t>Tener el prompt con anotaciones de relevancia Daniel y tabularlos</t>
  </si>
  <si>
    <t>Tener el prompt con anotaciones de relevancia Daniel + Christian y tabularlo</t>
  </si>
  <si>
    <t>Tabular todos los resultados vs los resultados del paper humano(con y sin plantillas)</t>
  </si>
  <si>
    <t>Con el prompt que de mejores resultados ajustarlo para hacer una corrida sin plantillas</t>
  </si>
  <si>
    <t>Tabular todo en una tabla comparativa</t>
  </si>
  <si>
    <t>Caso</t>
  </si>
  <si>
    <t>Grupo</t>
  </si>
  <si>
    <t>Tratamiento</t>
  </si>
  <si>
    <t>Relevancia</t>
  </si>
  <si>
    <t>Covertura</t>
  </si>
  <si>
    <t>Eficiencia</t>
  </si>
  <si>
    <t>Riaz</t>
  </si>
  <si>
    <t>Si</t>
  </si>
  <si>
    <t>No</t>
  </si>
  <si>
    <t>Prompt Original</t>
  </si>
  <si>
    <t>Prompt Daniel</t>
  </si>
  <si>
    <t>Prompt Daniel + Christian</t>
  </si>
  <si>
    <t>Andrés Martínez</t>
  </si>
  <si>
    <t>GPT 5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</si>
</sst>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2" fontId="2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411480</xdr:colOff>
      <xdr:row>1</xdr:row>
      <xdr:rowOff>78834</xdr:rowOff>
    </xdr:from>
    <xdr:to>
      <xdr:col>15</xdr:col>
      <xdr:colOff>164774</xdr:colOff>
      <xdr:row>18</xdr:row>
      <xdr:rowOff>33654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E6613-6BAE-C80C-B00F-2704F5E9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8680" y="261714"/>
          <a:ext cx="4630094" cy="30637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F10" sqref="F10"/>
    </sheetView>
  </sheetViews>
  <sheetFormatPr defaultRowHeight="14.4" x14ac:dyDescent="0.3"/>
  <cols>
    <col min="6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  <c r="H1" s="1" t="s">
        <v>7</v>
      </c>
    </row>
    <row r="2" spans="1:8" x14ac:dyDescent="0.3">
      <c r="A2" t="s">
        <v>8</v>
      </c>
      <c r="B2" t="s">
        <v>9</v>
      </c>
      <c r="C2">
        <v>22</v>
      </c>
      <c r="D2">
        <v>23</v>
      </c>
      <c r="E2">
        <v>7</v>
      </c>
      <c r="F2">
        <v>0.48888888888888887</v>
      </c>
      <c r="G2">
        <v>0.75862068965517238</v>
      </c>
      <c r="H2">
        <v>0.59459459459459452</v>
      </c>
    </row>
    <row r="3" spans="1:8" x14ac:dyDescent="0.3">
      <c r="A3" t="s">
        <v>10</v>
      </c>
      <c r="B3" t="s">
        <v>9</v>
      </c>
      <c r="C3">
        <v>25</v>
      </c>
      <c r="D3">
        <v>26</v>
      </c>
      <c r="E3">
        <v>8</v>
      </c>
      <c r="F3">
        <v>0.49019607843137247</v>
      </c>
      <c r="G3">
        <v>0.75757575757575757</v>
      </c>
      <c r="H3">
        <v>0.59523809523809523</v>
      </c>
    </row>
    <row r="4" spans="1:8" x14ac:dyDescent="0.3">
      <c r="A4" t="s">
        <v>11</v>
      </c>
      <c r="B4" t="s">
        <v>12</v>
      </c>
      <c r="C4">
        <v>26</v>
      </c>
      <c r="D4">
        <v>13</v>
      </c>
      <c r="E4">
        <v>8</v>
      </c>
      <c r="F4">
        <v>0.66666666666666663</v>
      </c>
      <c r="G4">
        <v>0.76470588235294112</v>
      </c>
      <c r="H4">
        <v>0.71232876712328774</v>
      </c>
    </row>
    <row r="5" spans="1:8" x14ac:dyDescent="0.3">
      <c r="A5" t="s">
        <v>13</v>
      </c>
      <c r="B5" t="s">
        <v>12</v>
      </c>
      <c r="C5">
        <v>14</v>
      </c>
      <c r="D5">
        <v>20</v>
      </c>
      <c r="E5">
        <v>8</v>
      </c>
      <c r="F5">
        <v>0.41176470588235292</v>
      </c>
      <c r="G5">
        <v>0.63636363636363635</v>
      </c>
      <c r="H5">
        <v>0.5</v>
      </c>
    </row>
    <row r="6" spans="1:8" x14ac:dyDescent="0.3">
      <c r="A6" t="s">
        <v>14</v>
      </c>
      <c r="B6" t="s">
        <v>12</v>
      </c>
      <c r="C6">
        <v>41</v>
      </c>
      <c r="D6">
        <v>19</v>
      </c>
      <c r="E6">
        <v>31</v>
      </c>
      <c r="F6">
        <v>0.68333333333333335</v>
      </c>
      <c r="G6">
        <v>0.56944444444444442</v>
      </c>
      <c r="H6">
        <v>0.62121212121212122</v>
      </c>
    </row>
    <row r="7" spans="1:8" x14ac:dyDescent="0.3">
      <c r="F7">
        <v>0.79</v>
      </c>
      <c r="G7">
        <v>0.26</v>
      </c>
    </row>
    <row r="8" spans="1:8" x14ac:dyDescent="0.3">
      <c r="F8">
        <v>0.76</v>
      </c>
      <c r="G8">
        <v>0.45</v>
      </c>
    </row>
    <row r="9" spans="1:8" x14ac:dyDescent="0.3">
      <c r="F9">
        <v>0.66</v>
      </c>
      <c r="G9">
        <v>0.54</v>
      </c>
    </row>
    <row r="10" spans="1:8" x14ac:dyDescent="0.3">
      <c r="F10">
        <v>0.66</v>
      </c>
      <c r="G10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15</v>
      </c>
      <c r="B2">
        <v>47</v>
      </c>
      <c r="C2">
        <v>49</v>
      </c>
      <c r="D2">
        <v>15</v>
      </c>
      <c r="E2">
        <v>0.48958333333333331</v>
      </c>
      <c r="F2">
        <v>0.75806451612903225</v>
      </c>
      <c r="G2">
        <v>0.59493670886075944</v>
      </c>
    </row>
    <row r="3" spans="1:7" x14ac:dyDescent="0.3">
      <c r="A3" t="s">
        <v>16</v>
      </c>
      <c r="B3">
        <v>40</v>
      </c>
      <c r="C3">
        <v>33</v>
      </c>
      <c r="D3">
        <v>16</v>
      </c>
      <c r="E3">
        <v>0.54794520547945202</v>
      </c>
      <c r="F3">
        <v>0.7142857142857143</v>
      </c>
      <c r="G3">
        <v>0.6201550387596898</v>
      </c>
    </row>
    <row r="4" spans="1:7" x14ac:dyDescent="0.3">
      <c r="A4" t="s">
        <v>17</v>
      </c>
      <c r="B4">
        <v>40</v>
      </c>
      <c r="C4">
        <v>33</v>
      </c>
      <c r="D4">
        <v>16</v>
      </c>
      <c r="E4">
        <v>0.54794520547945202</v>
      </c>
      <c r="F4">
        <v>0.7142857142857143</v>
      </c>
      <c r="G4">
        <v>0.6201550387596898</v>
      </c>
    </row>
    <row r="5" spans="1:7" x14ac:dyDescent="0.3">
      <c r="A5" t="s">
        <v>18</v>
      </c>
      <c r="B5">
        <v>40</v>
      </c>
      <c r="C5">
        <v>33</v>
      </c>
      <c r="D5">
        <v>16</v>
      </c>
      <c r="E5">
        <v>0.54794520547945202</v>
      </c>
      <c r="F5">
        <v>0.7142857142857143</v>
      </c>
      <c r="G5">
        <v>0.6201550387596898</v>
      </c>
    </row>
    <row r="6" spans="1:7" x14ac:dyDescent="0.3">
      <c r="A6" t="s">
        <v>19</v>
      </c>
      <c r="B6">
        <v>41</v>
      </c>
      <c r="C6">
        <v>19</v>
      </c>
      <c r="D6">
        <v>31</v>
      </c>
      <c r="E6">
        <v>0.68333333333333335</v>
      </c>
      <c r="F6">
        <v>0.56944444444444442</v>
      </c>
      <c r="G6">
        <v>0.62121212121212122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opLeftCell="A18" workbookViewId="0">
      <selection activeCell="B27" sqref="B27"/>
    </sheetView>
  </sheetViews>
  <sheetFormatPr defaultRowHeight="14.4" x14ac:dyDescent="0.3"/>
  <sheetData>
    <row r="1" spans="1:7" x14ac:dyDescent="0.3">
      <c r="A1" s="19" t="s">
        <v>30</v>
      </c>
      <c r="B1" s="19"/>
      <c r="C1" s="19"/>
      <c r="D1" s="19"/>
      <c r="E1" s="19"/>
      <c r="F1" s="19"/>
      <c r="G1" s="19"/>
    </row>
    <row r="2" spans="1:7" x14ac:dyDescent="0.3">
      <c r="A2" s="1" t="s">
        <v>20</v>
      </c>
      <c r="B2" s="1" t="s">
        <v>2</v>
      </c>
      <c r="C2" s="1" t="s">
        <v>3</v>
      </c>
      <c r="D2" s="1" t="s">
        <v>4</v>
      </c>
      <c r="E2" s="1" t="s">
        <v>27</v>
      </c>
      <c r="F2" s="1" t="s">
        <v>28</v>
      </c>
      <c r="G2" s="1" t="s">
        <v>7</v>
      </c>
    </row>
    <row r="3" spans="1:7" x14ac:dyDescent="0.3">
      <c r="A3" t="s">
        <v>15</v>
      </c>
      <c r="B3">
        <v>47</v>
      </c>
      <c r="C3">
        <v>49</v>
      </c>
      <c r="D3">
        <v>15</v>
      </c>
      <c r="E3" s="2">
        <v>0.48958333333333331</v>
      </c>
      <c r="F3" s="2">
        <v>0.75806451612903203</v>
      </c>
      <c r="G3" s="2">
        <v>0.59493670886075944</v>
      </c>
    </row>
    <row r="4" spans="1:7" x14ac:dyDescent="0.3">
      <c r="A4" t="s">
        <v>16</v>
      </c>
      <c r="B4">
        <v>40</v>
      </c>
      <c r="C4">
        <v>33</v>
      </c>
      <c r="D4">
        <v>16</v>
      </c>
      <c r="E4" s="2">
        <v>0.54794520547945202</v>
      </c>
      <c r="F4" s="2">
        <v>0.7142857142857143</v>
      </c>
      <c r="G4" s="2">
        <v>0.6201550387596898</v>
      </c>
    </row>
    <row r="5" spans="1:7" x14ac:dyDescent="0.3">
      <c r="A5" t="s">
        <v>17</v>
      </c>
      <c r="B5">
        <v>40</v>
      </c>
      <c r="C5">
        <v>33</v>
      </c>
      <c r="D5">
        <v>16</v>
      </c>
      <c r="E5" s="2">
        <v>0.54794520547945202</v>
      </c>
      <c r="F5" s="2">
        <v>0.7142857142857143</v>
      </c>
      <c r="G5" s="2">
        <v>0.6201550387596898</v>
      </c>
    </row>
    <row r="6" spans="1:7" x14ac:dyDescent="0.3">
      <c r="A6" t="s">
        <v>18</v>
      </c>
      <c r="B6">
        <v>40</v>
      </c>
      <c r="C6">
        <v>33</v>
      </c>
      <c r="D6">
        <v>16</v>
      </c>
      <c r="E6" s="2">
        <v>0.54794520547945202</v>
      </c>
      <c r="F6" s="2">
        <v>0.7142857142857143</v>
      </c>
      <c r="G6" s="2">
        <v>0.6201550387596898</v>
      </c>
    </row>
    <row r="7" spans="1:7" x14ac:dyDescent="0.3">
      <c r="A7" t="s">
        <v>19</v>
      </c>
      <c r="B7">
        <v>41</v>
      </c>
      <c r="C7">
        <v>19</v>
      </c>
      <c r="D7">
        <v>31</v>
      </c>
      <c r="E7" s="2">
        <v>0.68333333333333335</v>
      </c>
      <c r="F7" s="2">
        <v>0.56944444444444442</v>
      </c>
      <c r="G7" s="2">
        <v>0.62121212121212122</v>
      </c>
    </row>
    <row r="8" spans="1:7" x14ac:dyDescent="0.3">
      <c r="A8" s="19" t="s">
        <v>29</v>
      </c>
      <c r="B8" s="19"/>
      <c r="C8" s="19"/>
      <c r="D8" s="19"/>
      <c r="E8" s="19"/>
      <c r="F8" s="19"/>
      <c r="G8" s="19"/>
    </row>
    <row r="9" spans="1:7" x14ac:dyDescent="0.3">
      <c r="A9" s="1" t="s">
        <v>20</v>
      </c>
      <c r="B9" s="1" t="s">
        <v>2</v>
      </c>
      <c r="C9" s="1" t="s">
        <v>3</v>
      </c>
      <c r="D9" s="1" t="s">
        <v>4</v>
      </c>
      <c r="E9" s="1" t="s">
        <v>27</v>
      </c>
      <c r="F9" s="1" t="s">
        <v>28</v>
      </c>
      <c r="G9" s="1" t="s">
        <v>7</v>
      </c>
    </row>
    <row r="10" spans="1:7" x14ac:dyDescent="0.3">
      <c r="A10" t="s">
        <v>15</v>
      </c>
      <c r="B10">
        <v>49</v>
      </c>
      <c r="C10">
        <v>50</v>
      </c>
      <c r="D10">
        <v>13</v>
      </c>
      <c r="E10" s="2">
        <v>0.49494949494949497</v>
      </c>
      <c r="F10" s="2">
        <v>0.79032258064516125</v>
      </c>
      <c r="G10" s="2">
        <v>0.60869565217391308</v>
      </c>
    </row>
    <row r="11" spans="1:7" x14ac:dyDescent="0.3">
      <c r="A11" t="s">
        <v>16</v>
      </c>
      <c r="B11">
        <v>46</v>
      </c>
      <c r="C11">
        <v>42</v>
      </c>
      <c r="D11">
        <v>10</v>
      </c>
      <c r="E11" s="2">
        <v>0.52272727272727271</v>
      </c>
      <c r="F11" s="2">
        <v>0.8214285714285714</v>
      </c>
      <c r="G11" s="2">
        <v>0.63888888888888884</v>
      </c>
    </row>
    <row r="12" spans="1:7" x14ac:dyDescent="0.3">
      <c r="A12" t="s">
        <v>17</v>
      </c>
      <c r="B12">
        <v>46</v>
      </c>
      <c r="C12">
        <v>42</v>
      </c>
      <c r="D12">
        <v>10</v>
      </c>
      <c r="E12" s="2">
        <v>0.52272727272727271</v>
      </c>
      <c r="F12" s="2">
        <v>0.8214285714285714</v>
      </c>
      <c r="G12" s="2">
        <v>0.63888888888888884</v>
      </c>
    </row>
    <row r="13" spans="1:7" x14ac:dyDescent="0.3">
      <c r="A13" t="s">
        <v>18</v>
      </c>
      <c r="B13">
        <v>46</v>
      </c>
      <c r="C13">
        <v>42</v>
      </c>
      <c r="D13">
        <v>10</v>
      </c>
      <c r="E13" s="2">
        <v>0.52272727272727271</v>
      </c>
      <c r="F13" s="2">
        <v>0.8214285714285714</v>
      </c>
      <c r="G13" s="2">
        <v>0.63888888888888884</v>
      </c>
    </row>
    <row r="14" spans="1:7" x14ac:dyDescent="0.3">
      <c r="A14" t="s">
        <v>19</v>
      </c>
      <c r="B14">
        <v>48</v>
      </c>
      <c r="C14">
        <v>27</v>
      </c>
      <c r="D14">
        <v>24</v>
      </c>
      <c r="E14" s="2">
        <v>0.64</v>
      </c>
      <c r="F14" s="2">
        <v>0.66666666666666663</v>
      </c>
      <c r="G14" s="2">
        <v>0.65306122448979587</v>
      </c>
    </row>
    <row r="16" spans="1:7" x14ac:dyDescent="0.3">
      <c r="E16" s="3">
        <f>+E10-E3</f>
        <v>5.3661616161616577E-3</v>
      </c>
      <c r="F16" s="3">
        <f>+F10-F3</f>
        <v>3.2258064516129226E-2</v>
      </c>
      <c r="G16" s="3">
        <f t="shared" ref="G16:G20" si="0">+G10-G3</f>
        <v>1.3758943313153638E-2</v>
      </c>
    </row>
    <row r="17" spans="1:7" x14ac:dyDescent="0.3">
      <c r="E17" s="3">
        <f>+E11-E4</f>
        <v>-2.5217932752179317E-2</v>
      </c>
      <c r="F17" s="3">
        <f t="shared" ref="F17:F20" si="1">+F11-F4</f>
        <v>0.1071428571428571</v>
      </c>
      <c r="G17" s="3">
        <f t="shared" si="0"/>
        <v>1.8733850129199037E-2</v>
      </c>
    </row>
    <row r="18" spans="1:7" x14ac:dyDescent="0.3">
      <c r="E18" s="3">
        <f>+E12-E5</f>
        <v>-2.5217932752179317E-2</v>
      </c>
      <c r="F18" s="3">
        <f t="shared" si="1"/>
        <v>0.1071428571428571</v>
      </c>
      <c r="G18" s="3">
        <f t="shared" si="0"/>
        <v>1.8733850129199037E-2</v>
      </c>
    </row>
    <row r="19" spans="1:7" x14ac:dyDescent="0.3">
      <c r="E19" s="3">
        <f>+E13-E6</f>
        <v>-2.5217932752179317E-2</v>
      </c>
      <c r="F19" s="3">
        <f t="shared" si="1"/>
        <v>0.1071428571428571</v>
      </c>
      <c r="G19" s="3">
        <f t="shared" si="0"/>
        <v>1.8733850129199037E-2</v>
      </c>
    </row>
    <row r="20" spans="1:7" x14ac:dyDescent="0.3">
      <c r="E20" s="3">
        <f>+E14-E7</f>
        <v>-4.3333333333333335E-2</v>
      </c>
      <c r="F20" s="3">
        <f t="shared" si="1"/>
        <v>9.722222222222221E-2</v>
      </c>
      <c r="G20" s="3">
        <f t="shared" si="0"/>
        <v>3.1849103277674651E-2</v>
      </c>
    </row>
    <row r="21" spans="1:7" x14ac:dyDescent="0.3">
      <c r="E21" s="3"/>
    </row>
    <row r="22" spans="1:7" x14ac:dyDescent="0.3">
      <c r="A22" s="4" t="s">
        <v>31</v>
      </c>
    </row>
    <row r="23" spans="1:7" x14ac:dyDescent="0.3">
      <c r="A23">
        <v>1</v>
      </c>
      <c r="B23" t="s">
        <v>32</v>
      </c>
    </row>
    <row r="24" spans="1:7" x14ac:dyDescent="0.3">
      <c r="A24">
        <v>2</v>
      </c>
      <c r="B24" t="s">
        <v>33</v>
      </c>
    </row>
    <row r="25" spans="1:7" x14ac:dyDescent="0.3">
      <c r="A25">
        <v>3</v>
      </c>
      <c r="B25" t="s">
        <v>34</v>
      </c>
    </row>
    <row r="26" spans="1:7" x14ac:dyDescent="0.3">
      <c r="A26">
        <v>4</v>
      </c>
      <c r="B26" t="s">
        <v>35</v>
      </c>
    </row>
    <row r="27" spans="1:7" x14ac:dyDescent="0.3">
      <c r="A27">
        <v>5</v>
      </c>
      <c r="B27" t="s">
        <v>36</v>
      </c>
    </row>
    <row r="28" spans="1:7" x14ac:dyDescent="0.3">
      <c r="A28">
        <v>6</v>
      </c>
      <c r="B28" t="s">
        <v>37</v>
      </c>
    </row>
  </sheetData>
  <mergeCells count="2">
    <mergeCell ref="A8:G8"/>
    <mergeCell ref="A1:G1"/>
  </mergeCells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A25E-2155-499D-AAA5-F3BF786931A3}">
  <dimension ref="A1:P46"/>
  <sheetViews>
    <sheetView tabSelected="1" topLeftCell="A35" zoomScale="101" workbookViewId="0">
      <selection activeCell="H52" activeCellId="1" sqref="A1:F46 H52"/>
    </sheetView>
  </sheetViews>
  <sheetFormatPr defaultRowHeight="14.4" x14ac:dyDescent="0.3"/>
  <cols>
    <col min="2" max="2" width="21.88671875" style="5" bestFit="1" customWidth="1"/>
    <col min="3" max="3" width="15.88671875" style="5" customWidth="1"/>
    <col min="4" max="4" width="13.88671875" style="5" customWidth="1"/>
    <col min="5" max="5" width="13" style="5" customWidth="1"/>
    <col min="6" max="6" width="14.77734375" style="6" customWidth="1"/>
  </cols>
  <sheetData>
    <row r="1" spans="1:16" x14ac:dyDescent="0.3">
      <c r="A1" s="7" t="s">
        <v>39</v>
      </c>
      <c r="B1" s="7" t="s">
        <v>38</v>
      </c>
      <c r="C1" s="7" t="s">
        <v>40</v>
      </c>
      <c r="D1" s="7" t="s">
        <v>41</v>
      </c>
      <c r="E1" s="7" t="s">
        <v>42</v>
      </c>
      <c r="F1" s="8" t="s">
        <v>43</v>
      </c>
    </row>
    <row r="2" spans="1:16" x14ac:dyDescent="0.3">
      <c r="A2" s="22" t="s">
        <v>15</v>
      </c>
      <c r="B2" s="9" t="s">
        <v>44</v>
      </c>
      <c r="C2" s="9" t="s">
        <v>45</v>
      </c>
      <c r="D2" s="10">
        <v>0.69</v>
      </c>
      <c r="E2" s="10">
        <v>0.65</v>
      </c>
      <c r="F2" s="11">
        <v>0.7</v>
      </c>
    </row>
    <row r="3" spans="1:16" x14ac:dyDescent="0.3">
      <c r="A3" s="23"/>
      <c r="B3" s="9" t="s">
        <v>44</v>
      </c>
      <c r="C3" s="9" t="s">
        <v>45</v>
      </c>
      <c r="D3" s="10">
        <v>0.74</v>
      </c>
      <c r="E3" s="10">
        <v>0.61</v>
      </c>
      <c r="F3" s="11">
        <v>0.9</v>
      </c>
      <c r="G3" s="4"/>
    </row>
    <row r="4" spans="1:16" x14ac:dyDescent="0.3">
      <c r="A4" s="23"/>
      <c r="B4" s="9" t="s">
        <v>44</v>
      </c>
      <c r="C4" s="9" t="s">
        <v>46</v>
      </c>
      <c r="D4" s="10">
        <v>0.62</v>
      </c>
      <c r="E4" s="10">
        <v>0.41</v>
      </c>
      <c r="F4" s="11">
        <v>0.41</v>
      </c>
    </row>
    <row r="5" spans="1:16" x14ac:dyDescent="0.3">
      <c r="A5" s="23"/>
      <c r="B5" s="12" t="s">
        <v>44</v>
      </c>
      <c r="C5" s="12" t="s">
        <v>46</v>
      </c>
      <c r="D5" s="10">
        <v>0.56000000000000005</v>
      </c>
      <c r="E5" s="10">
        <v>0.3</v>
      </c>
      <c r="F5" s="13">
        <v>0.49</v>
      </c>
    </row>
    <row r="6" spans="1:16" x14ac:dyDescent="0.3">
      <c r="A6" s="23"/>
      <c r="B6" s="12" t="s">
        <v>47</v>
      </c>
      <c r="C6" s="12" t="s">
        <v>45</v>
      </c>
      <c r="D6" s="10">
        <v>0.49494949494949497</v>
      </c>
      <c r="E6" s="10">
        <v>0.79032258064516103</v>
      </c>
      <c r="F6" s="13"/>
      <c r="P6" s="5"/>
    </row>
    <row r="7" spans="1:16" x14ac:dyDescent="0.3">
      <c r="A7" s="23"/>
      <c r="B7" s="12" t="s">
        <v>48</v>
      </c>
      <c r="C7" s="12" t="s">
        <v>45</v>
      </c>
      <c r="D7" s="10">
        <v>0.48958333333333298</v>
      </c>
      <c r="E7" s="10">
        <v>0.75806451612903203</v>
      </c>
      <c r="F7" s="13"/>
      <c r="P7" s="5"/>
    </row>
    <row r="8" spans="1:16" x14ac:dyDescent="0.3">
      <c r="A8" s="23"/>
      <c r="B8" s="12" t="s">
        <v>49</v>
      </c>
      <c r="C8" s="12" t="s">
        <v>45</v>
      </c>
      <c r="D8" s="10">
        <v>0.49438202247190999</v>
      </c>
      <c r="E8" s="10">
        <v>0.70967741935483797</v>
      </c>
      <c r="F8" s="13"/>
      <c r="P8" s="5"/>
    </row>
    <row r="9" spans="1:16" x14ac:dyDescent="0.3">
      <c r="A9" s="23"/>
      <c r="B9" s="12" t="s">
        <v>49</v>
      </c>
      <c r="C9" s="12" t="s">
        <v>46</v>
      </c>
      <c r="D9" s="10">
        <v>0.36936936936936898</v>
      </c>
      <c r="E9" s="10">
        <v>0.66129032258064502</v>
      </c>
      <c r="F9" s="13"/>
      <c r="P9" s="5"/>
    </row>
    <row r="10" spans="1:16" x14ac:dyDescent="0.3">
      <c r="A10" s="24"/>
      <c r="B10" s="12" t="s">
        <v>51</v>
      </c>
      <c r="C10" s="12" t="s">
        <v>45</v>
      </c>
      <c r="D10" s="10">
        <v>0.55555555555555558</v>
      </c>
      <c r="E10" s="10">
        <v>0.64516129032258063</v>
      </c>
      <c r="F10" s="13"/>
      <c r="P10" s="5"/>
    </row>
    <row r="11" spans="1:16" x14ac:dyDescent="0.3">
      <c r="A11" s="20" t="s">
        <v>16</v>
      </c>
      <c r="B11" s="14" t="s">
        <v>44</v>
      </c>
      <c r="C11" s="14" t="s">
        <v>45</v>
      </c>
      <c r="D11" s="15">
        <v>0.89</v>
      </c>
      <c r="E11" s="15">
        <v>0.35</v>
      </c>
      <c r="F11" s="16">
        <v>1.46</v>
      </c>
      <c r="P11" s="5"/>
    </row>
    <row r="12" spans="1:16" x14ac:dyDescent="0.3">
      <c r="A12" s="21"/>
      <c r="B12" s="14" t="s">
        <v>44</v>
      </c>
      <c r="C12" s="14" t="s">
        <v>45</v>
      </c>
      <c r="D12" s="15">
        <v>0.93</v>
      </c>
      <c r="E12" s="15">
        <v>0.6</v>
      </c>
      <c r="F12" s="16">
        <v>0.87</v>
      </c>
      <c r="P12" s="5"/>
    </row>
    <row r="13" spans="1:16" x14ac:dyDescent="0.3">
      <c r="A13" s="21"/>
      <c r="B13" s="14" t="s">
        <v>44</v>
      </c>
      <c r="C13" s="14" t="s">
        <v>46</v>
      </c>
      <c r="D13" s="15">
        <v>0.6</v>
      </c>
      <c r="E13" s="15">
        <v>0.19</v>
      </c>
      <c r="F13" s="16">
        <v>1.07</v>
      </c>
      <c r="P13" s="5"/>
    </row>
    <row r="14" spans="1:16" x14ac:dyDescent="0.3">
      <c r="A14" s="21"/>
      <c r="B14" s="17" t="s">
        <v>44</v>
      </c>
      <c r="C14" s="17" t="s">
        <v>46</v>
      </c>
      <c r="D14" s="15">
        <v>0.49</v>
      </c>
      <c r="E14" s="15">
        <v>0.33</v>
      </c>
      <c r="F14" s="16">
        <v>0.62</v>
      </c>
      <c r="P14" s="5"/>
    </row>
    <row r="15" spans="1:16" x14ac:dyDescent="0.3">
      <c r="A15" s="21"/>
      <c r="B15" s="17" t="s">
        <v>47</v>
      </c>
      <c r="C15" s="17" t="s">
        <v>45</v>
      </c>
      <c r="D15" s="15">
        <v>0.52272727272727204</v>
      </c>
      <c r="E15" s="15">
        <v>0.82142857142857095</v>
      </c>
      <c r="F15" s="16"/>
      <c r="P15" s="5"/>
    </row>
    <row r="16" spans="1:16" x14ac:dyDescent="0.3">
      <c r="A16" s="21"/>
      <c r="B16" s="17" t="s">
        <v>48</v>
      </c>
      <c r="C16" s="17" t="s">
        <v>45</v>
      </c>
      <c r="D16" s="15">
        <v>0.54794520547945202</v>
      </c>
      <c r="E16" s="15">
        <v>0.71428571428571397</v>
      </c>
      <c r="F16" s="16"/>
      <c r="P16" s="5"/>
    </row>
    <row r="17" spans="1:6" x14ac:dyDescent="0.3">
      <c r="A17" s="21"/>
      <c r="B17" s="17" t="s">
        <v>49</v>
      </c>
      <c r="C17" s="17" t="s">
        <v>45</v>
      </c>
      <c r="D17" s="15">
        <v>0.53409090909090895</v>
      </c>
      <c r="E17" s="15">
        <v>0.83928571428571397</v>
      </c>
      <c r="F17" s="16"/>
    </row>
    <row r="18" spans="1:6" x14ac:dyDescent="0.3">
      <c r="A18" s="21"/>
      <c r="B18" s="17" t="s">
        <v>49</v>
      </c>
      <c r="C18" s="17" t="s">
        <v>46</v>
      </c>
      <c r="D18" s="15">
        <v>0.44086021505376299</v>
      </c>
      <c r="E18" s="15">
        <v>0.73214285714285698</v>
      </c>
      <c r="F18" s="16"/>
    </row>
    <row r="19" spans="1:6" x14ac:dyDescent="0.3">
      <c r="A19" s="25"/>
      <c r="B19" s="17" t="s">
        <v>51</v>
      </c>
      <c r="C19" s="17" t="s">
        <v>45</v>
      </c>
      <c r="D19" s="15">
        <v>0.5</v>
      </c>
      <c r="E19" s="15">
        <v>0.5714285714285714</v>
      </c>
      <c r="F19" s="16"/>
    </row>
    <row r="20" spans="1:6" x14ac:dyDescent="0.3">
      <c r="A20" s="22" t="s">
        <v>17</v>
      </c>
      <c r="B20" s="9" t="s">
        <v>44</v>
      </c>
      <c r="C20" s="9" t="s">
        <v>45</v>
      </c>
      <c r="D20" s="10">
        <v>0.9</v>
      </c>
      <c r="E20" s="10">
        <v>0.24</v>
      </c>
      <c r="F20" s="13">
        <v>1.7</v>
      </c>
    </row>
    <row r="21" spans="1:6" x14ac:dyDescent="0.3">
      <c r="A21" s="23"/>
      <c r="B21" s="9" t="s">
        <v>44</v>
      </c>
      <c r="C21" s="9" t="s">
        <v>45</v>
      </c>
      <c r="D21" s="10">
        <v>0.91</v>
      </c>
      <c r="E21" s="10">
        <v>0.62</v>
      </c>
      <c r="F21" s="13">
        <v>1</v>
      </c>
    </row>
    <row r="22" spans="1:6" x14ac:dyDescent="0.3">
      <c r="A22" s="23"/>
      <c r="B22" s="9" t="s">
        <v>44</v>
      </c>
      <c r="C22" s="9" t="s">
        <v>46</v>
      </c>
      <c r="D22" s="10">
        <v>0.86</v>
      </c>
      <c r="E22" s="10">
        <v>0.12</v>
      </c>
      <c r="F22" s="13">
        <v>1.1499999999999999</v>
      </c>
    </row>
    <row r="23" spans="1:6" x14ac:dyDescent="0.3">
      <c r="A23" s="23"/>
      <c r="B23" s="12" t="s">
        <v>44</v>
      </c>
      <c r="C23" s="12" t="s">
        <v>46</v>
      </c>
      <c r="D23" s="10">
        <v>0.84</v>
      </c>
      <c r="E23" s="10">
        <v>0.19</v>
      </c>
      <c r="F23" s="13">
        <v>0.4</v>
      </c>
    </row>
    <row r="24" spans="1:6" x14ac:dyDescent="0.3">
      <c r="A24" s="23"/>
      <c r="B24" s="12" t="s">
        <v>47</v>
      </c>
      <c r="C24" s="12" t="s">
        <v>45</v>
      </c>
      <c r="D24" s="10">
        <v>0.52272727272727204</v>
      </c>
      <c r="E24" s="10">
        <v>0.82142857142857095</v>
      </c>
      <c r="F24" s="13"/>
    </row>
    <row r="25" spans="1:6" x14ac:dyDescent="0.3">
      <c r="A25" s="23"/>
      <c r="B25" s="12" t="s">
        <v>48</v>
      </c>
      <c r="C25" s="12" t="s">
        <v>45</v>
      </c>
      <c r="D25" s="10">
        <v>0.54794520547945202</v>
      </c>
      <c r="E25" s="10">
        <v>0.71428571428571397</v>
      </c>
      <c r="F25" s="13"/>
    </row>
    <row r="26" spans="1:6" x14ac:dyDescent="0.3">
      <c r="A26" s="23"/>
      <c r="B26" s="12" t="s">
        <v>49</v>
      </c>
      <c r="C26" s="12" t="s">
        <v>45</v>
      </c>
      <c r="D26" s="10">
        <v>0.53409090909090895</v>
      </c>
      <c r="E26" s="10">
        <v>0.83928571428571397</v>
      </c>
      <c r="F26" s="13"/>
    </row>
    <row r="27" spans="1:6" x14ac:dyDescent="0.3">
      <c r="A27" s="23"/>
      <c r="B27" s="12" t="s">
        <v>49</v>
      </c>
      <c r="C27" s="12" t="s">
        <v>46</v>
      </c>
      <c r="D27" s="10">
        <v>0.44086021505376299</v>
      </c>
      <c r="E27" s="10">
        <v>0.73214285714285698</v>
      </c>
      <c r="F27" s="13"/>
    </row>
    <row r="28" spans="1:6" x14ac:dyDescent="0.3">
      <c r="A28" s="24"/>
      <c r="B28" s="12" t="s">
        <v>51</v>
      </c>
      <c r="C28" s="12" t="s">
        <v>45</v>
      </c>
      <c r="D28" s="10">
        <v>0.5</v>
      </c>
      <c r="E28" s="10">
        <v>0.5714285714285714</v>
      </c>
      <c r="F28" s="13"/>
    </row>
    <row r="29" spans="1:6" x14ac:dyDescent="0.3">
      <c r="A29" s="20" t="s">
        <v>18</v>
      </c>
      <c r="B29" s="14" t="s">
        <v>44</v>
      </c>
      <c r="C29" s="14" t="s">
        <v>45</v>
      </c>
      <c r="D29" s="15">
        <v>0.88</v>
      </c>
      <c r="E29" s="15">
        <v>0.31</v>
      </c>
      <c r="F29" s="16">
        <v>1.71</v>
      </c>
    </row>
    <row r="30" spans="1:6" x14ac:dyDescent="0.3">
      <c r="A30" s="21"/>
      <c r="B30" s="14" t="s">
        <v>44</v>
      </c>
      <c r="C30" s="14" t="s">
        <v>45</v>
      </c>
      <c r="D30" s="15">
        <v>0.92</v>
      </c>
      <c r="E30" s="15">
        <v>0.52</v>
      </c>
      <c r="F30" s="16">
        <v>0.99</v>
      </c>
    </row>
    <row r="31" spans="1:6" x14ac:dyDescent="0.3">
      <c r="A31" s="21"/>
      <c r="B31" s="14" t="s">
        <v>44</v>
      </c>
      <c r="C31" s="14" t="s">
        <v>46</v>
      </c>
      <c r="D31" s="15">
        <v>0.66</v>
      </c>
      <c r="E31" s="15">
        <v>0.28999999999999998</v>
      </c>
      <c r="F31" s="16">
        <v>0.95</v>
      </c>
    </row>
    <row r="32" spans="1:6" x14ac:dyDescent="0.3">
      <c r="A32" s="21"/>
      <c r="B32" s="17" t="s">
        <v>44</v>
      </c>
      <c r="C32" s="17" t="s">
        <v>46</v>
      </c>
      <c r="D32" s="15">
        <v>0.53</v>
      </c>
      <c r="E32" s="15">
        <v>0.31</v>
      </c>
      <c r="F32" s="16">
        <v>0.41</v>
      </c>
    </row>
    <row r="33" spans="1:6" x14ac:dyDescent="0.3">
      <c r="A33" s="21"/>
      <c r="B33" s="17" t="s">
        <v>47</v>
      </c>
      <c r="C33" s="17" t="s">
        <v>45</v>
      </c>
      <c r="D33" s="15">
        <v>0.52272727272727204</v>
      </c>
      <c r="E33" s="15">
        <v>0.82142857142857095</v>
      </c>
      <c r="F33" s="16"/>
    </row>
    <row r="34" spans="1:6" x14ac:dyDescent="0.3">
      <c r="A34" s="21"/>
      <c r="B34" s="17" t="s">
        <v>48</v>
      </c>
      <c r="C34" s="17" t="s">
        <v>45</v>
      </c>
      <c r="D34" s="15">
        <v>0.54794520547945202</v>
      </c>
      <c r="E34" s="15">
        <v>0.71428571428571397</v>
      </c>
      <c r="F34" s="16"/>
    </row>
    <row r="35" spans="1:6" x14ac:dyDescent="0.3">
      <c r="A35" s="21"/>
      <c r="B35" s="17" t="s">
        <v>49</v>
      </c>
      <c r="C35" s="17" t="s">
        <v>45</v>
      </c>
      <c r="D35" s="15">
        <v>0.53409090909090895</v>
      </c>
      <c r="E35" s="15">
        <v>0.83928571428571397</v>
      </c>
      <c r="F35" s="16"/>
    </row>
    <row r="36" spans="1:6" x14ac:dyDescent="0.3">
      <c r="A36" s="21"/>
      <c r="B36" s="17" t="s">
        <v>49</v>
      </c>
      <c r="C36" s="17" t="s">
        <v>46</v>
      </c>
      <c r="D36" s="15">
        <v>0.44086021505376299</v>
      </c>
      <c r="E36" s="15">
        <v>0.73214285714285698</v>
      </c>
      <c r="F36" s="16"/>
    </row>
    <row r="37" spans="1:6" x14ac:dyDescent="0.3">
      <c r="A37" s="25"/>
      <c r="B37" s="17" t="s">
        <v>51</v>
      </c>
      <c r="C37" s="17" t="s">
        <v>45</v>
      </c>
      <c r="D37" s="15">
        <v>0.5</v>
      </c>
      <c r="E37" s="15">
        <v>0.5714285714285714</v>
      </c>
      <c r="F37" s="16"/>
    </row>
    <row r="38" spans="1:6" x14ac:dyDescent="0.3">
      <c r="A38" s="22" t="s">
        <v>19</v>
      </c>
      <c r="B38" s="9" t="s">
        <v>50</v>
      </c>
      <c r="C38" s="9" t="s">
        <v>45</v>
      </c>
      <c r="D38" s="10">
        <v>0.97489999999999999</v>
      </c>
      <c r="E38" s="10">
        <v>0.90400000000000003</v>
      </c>
      <c r="F38" s="13">
        <v>0.59960000000000002</v>
      </c>
    </row>
    <row r="39" spans="1:6" x14ac:dyDescent="0.3">
      <c r="A39" s="23"/>
      <c r="B39" s="9" t="s">
        <v>50</v>
      </c>
      <c r="C39" s="9" t="s">
        <v>45</v>
      </c>
      <c r="D39" s="10">
        <v>0.76070000000000004</v>
      </c>
      <c r="E39" s="10">
        <v>0.90769999999999995</v>
      </c>
      <c r="F39" s="13">
        <v>0.65049999999999997</v>
      </c>
    </row>
    <row r="40" spans="1:6" x14ac:dyDescent="0.3">
      <c r="A40" s="23"/>
      <c r="B40" s="9" t="s">
        <v>50</v>
      </c>
      <c r="C40" s="9" t="s">
        <v>46</v>
      </c>
      <c r="D40" s="10">
        <v>0.375</v>
      </c>
      <c r="E40" s="10">
        <v>0.40749999999999997</v>
      </c>
      <c r="F40" s="13">
        <v>0.65900000000000003</v>
      </c>
    </row>
    <row r="41" spans="1:6" x14ac:dyDescent="0.3">
      <c r="A41" s="23"/>
      <c r="B41" s="12" t="s">
        <v>50</v>
      </c>
      <c r="C41" s="12" t="s">
        <v>46</v>
      </c>
      <c r="D41" s="10">
        <v>0.6825</v>
      </c>
      <c r="E41" s="10">
        <v>0.41260000000000002</v>
      </c>
      <c r="F41" s="13">
        <v>0.36</v>
      </c>
    </row>
    <row r="42" spans="1:6" x14ac:dyDescent="0.3">
      <c r="A42" s="23"/>
      <c r="B42" s="12" t="s">
        <v>47</v>
      </c>
      <c r="C42" s="12" t="s">
        <v>45</v>
      </c>
      <c r="D42" s="10">
        <v>0.64</v>
      </c>
      <c r="E42" s="10">
        <v>0.66666666666666596</v>
      </c>
      <c r="F42" s="13"/>
    </row>
    <row r="43" spans="1:6" x14ac:dyDescent="0.3">
      <c r="A43" s="23"/>
      <c r="B43" s="12" t="s">
        <v>48</v>
      </c>
      <c r="C43" s="12" t="s">
        <v>45</v>
      </c>
      <c r="D43" s="10">
        <v>0.68333333333333302</v>
      </c>
      <c r="E43" s="10">
        <v>0.56944444444444398</v>
      </c>
      <c r="F43" s="13"/>
    </row>
    <row r="44" spans="1:6" x14ac:dyDescent="0.3">
      <c r="A44" s="23"/>
      <c r="B44" s="12" t="s">
        <v>49</v>
      </c>
      <c r="C44" s="12" t="s">
        <v>45</v>
      </c>
      <c r="D44" s="10">
        <v>0.644067796610169</v>
      </c>
      <c r="E44" s="10">
        <v>0.52777777777777701</v>
      </c>
      <c r="F44" s="18"/>
    </row>
    <row r="45" spans="1:6" x14ac:dyDescent="0.3">
      <c r="A45" s="23"/>
      <c r="B45" s="12" t="s">
        <v>49</v>
      </c>
      <c r="C45" s="12" t="s">
        <v>46</v>
      </c>
      <c r="D45" s="10">
        <v>0.57142857142857095</v>
      </c>
      <c r="E45" s="10">
        <v>0.61111111111111105</v>
      </c>
      <c r="F45" s="18"/>
    </row>
    <row r="46" spans="1:6" x14ac:dyDescent="0.3">
      <c r="A46" s="24"/>
      <c r="B46" s="12" t="s">
        <v>51</v>
      </c>
      <c r="C46" s="12" t="s">
        <v>45</v>
      </c>
      <c r="D46" s="10">
        <v>0.65079365079365081</v>
      </c>
      <c r="E46" s="10">
        <v>0.56944444444444442</v>
      </c>
      <c r="F46" s="18"/>
    </row>
  </sheetData>
  <mergeCells count="5">
    <mergeCell ref="A2:A10"/>
    <mergeCell ref="A38:A46"/>
    <mergeCell ref="A20:A28"/>
    <mergeCell ref="A11:A19"/>
    <mergeCell ref="A29:A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>
        <v>128</v>
      </c>
      <c r="B2">
        <v>101</v>
      </c>
      <c r="C2">
        <v>62</v>
      </c>
      <c r="D2">
        <v>0.55895196506550215</v>
      </c>
      <c r="E2">
        <v>0.67368421052631577</v>
      </c>
      <c r="F2">
        <v>0.61097852028639621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 Case Metrics</vt:lpstr>
      <vt:lpstr>Domain Metrics</vt:lpstr>
      <vt:lpstr>Studies Metrics</vt:lpstr>
      <vt:lpstr>Sheet1</vt:lpstr>
      <vt:lpstr>Overall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ALBERTO PEREZ MORERA</cp:lastModifiedBy>
  <dcterms:created xsi:type="dcterms:W3CDTF">2026-01-06T14:15:16Z</dcterms:created>
  <dcterms:modified xsi:type="dcterms:W3CDTF">2026-01-07T14:58:02Z</dcterms:modified>
</cp:coreProperties>
</file>